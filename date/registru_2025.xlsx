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apital_vechi" sheetId="1" state="hidden" r:id="rId1"/>
    <sheet xmlns:r="http://schemas.openxmlformats.org/officeDocument/2006/relationships" name="Prime" sheetId="2" state="visible" r:id="rId2"/>
    <sheet xmlns:r="http://schemas.openxmlformats.org/officeDocument/2006/relationships" name="Daune" sheetId="3" state="visible" r:id="rId3"/>
    <sheet xmlns:r="http://schemas.openxmlformats.org/officeDocument/2006/relationships" name="Investitii" sheetId="4" state="visible" r:id="rId4"/>
    <sheet xmlns:r="http://schemas.openxmlformats.org/officeDocument/2006/relationships" name="Provizioane" sheetId="5" state="visible" r:id="rId5"/>
    <sheet xmlns:r="http://schemas.openxmlformats.org/officeDocument/2006/relationships" name="SCR_module" sheetId="6" state="visible" r:id="rId6"/>
    <sheet xmlns:r="http://schemas.openxmlformats.org/officeDocument/2006/relationships" name="Capit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NU SE FOLOSEȘTE (copie 2024)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nivel 1</t>
        </is>
      </c>
      <c r="C5" t="n">
        <v>251300000</v>
      </c>
    </row>
    <row r="6">
      <c r="B6" t="inlineStr">
        <is>
          <t>nivel 2</t>
        </is>
      </c>
      <c r="C6" t="n">
        <v>33300000</v>
      </c>
    </row>
    <row r="7">
      <c r="B7" t="inlineStr">
        <is>
          <t>total</t>
        </is>
      </c>
      <c r="C7" t="n">
        <v>284600000</v>
      </c>
    </row>
    <row r="9">
      <c r="B9" t="inlineStr">
        <is>
          <t>SCR</t>
        </is>
      </c>
      <c r="C9" t="n">
        <v>151900000</v>
      </c>
    </row>
    <row r="10">
      <c r="B10" t="inlineStr">
        <is>
          <t>MCR</t>
        </is>
      </c>
      <c r="C10" t="n">
        <v>45570000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Prime brute subscrise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Incendiu și alte daune la proprietăți</t>
        </is>
      </c>
      <c r="C5" s="1" t="n">
        <v>181552300</v>
      </c>
    </row>
    <row r="6">
      <c r="B6" t="inlineStr">
        <is>
          <t>Răspundere civilă auto (RCA)</t>
        </is>
      </c>
      <c r="C6" s="1" t="n">
        <v>142017800</v>
      </c>
    </row>
    <row r="7">
      <c r="B7" t="inlineStr">
        <is>
          <t>Alte asigurări auto (CASCO)</t>
        </is>
      </c>
      <c r="C7" s="1" t="n">
        <v>79885100</v>
      </c>
    </row>
    <row r="8">
      <c r="B8" t="inlineStr">
        <is>
          <t>Răspundere civilă generală</t>
        </is>
      </c>
      <c r="C8" s="1" t="n">
        <v>31208900</v>
      </c>
    </row>
    <row r="9">
      <c r="B9" t="inlineStr">
        <is>
          <t>Accidente și boală</t>
        </is>
      </c>
      <c r="C9" s="1" t="n">
        <v>22248300</v>
      </c>
    </row>
    <row r="10">
      <c r="B10" t="inlineStr">
        <is>
          <t>Total</t>
        </is>
      </c>
      <c r="C10" s="1" t="n">
        <v>438912400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Daune</t>
        </is>
      </c>
    </row>
    <row r="2">
      <c r="A2" t="inlineStr">
        <is>
          <t>Valori în mii lei, cu excepția numărului de dosare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Daune brute plătite</t>
        </is>
      </c>
      <c r="C5" s="2" t="n">
        <v>231450.6</v>
      </c>
    </row>
    <row r="6">
      <c r="B6" t="inlineStr">
        <is>
          <t>Număr de dosare de daună</t>
        </is>
      </c>
      <c r="C6" s="1" t="n">
        <v>21037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Plasamente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Total plasamente</t>
        </is>
      </c>
      <c r="C5" s="1" t="n">
        <v>341207900</v>
      </c>
    </row>
    <row r="6">
      <c r="B6" t="inlineStr">
        <is>
          <t>Venituri din investiții</t>
        </is>
      </c>
      <c r="C6" s="1" t="n">
        <v>9877400</v>
      </c>
    </row>
    <row r="7">
      <c r="B7" t="inlineStr">
        <is>
          <t>Pondere titluri de stat</t>
        </is>
      </c>
      <c r="C7" s="3" t="n">
        <v>0.841</v>
      </c>
    </row>
    <row r="8">
      <c r="B8" t="inlineStr">
        <is>
          <t>Pondere acțiuni listate</t>
        </is>
      </c>
      <c r="C8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Rezerve tehnice Solvabilitate II</t>
        </is>
      </c>
    </row>
    <row r="2">
      <c r="A2" t="inlineStr">
        <is>
          <t>Valori în mii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Cea mai bună estimare</t>
        </is>
      </c>
      <c r="C5" s="2" t="n">
        <v>196405.7</v>
      </c>
      <c r="D5" s="2" t="n">
        <v>184100</v>
      </c>
    </row>
    <row r="6">
      <c r="B6" t="inlineStr">
        <is>
          <t>Marja de risc</t>
        </is>
      </c>
      <c r="C6" s="2" t="n">
        <v>10912.4</v>
      </c>
      <c r="D6" s="2" t="n">
        <v>9800</v>
      </c>
    </row>
    <row r="7">
      <c r="B7" t="inlineStr">
        <is>
          <t>Total rezerve tehnice</t>
        </is>
      </c>
      <c r="C7" s="2">
        <f>C5+C6</f>
        <v>207318.1</v>
      </c>
      <c r="D7" s="2">
        <f>D5+D6</f>
        <v>193900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Componentele SCR</t>
        </is>
      </c>
    </row>
    <row r="2">
      <c r="A2" t="inlineStr">
        <is>
          <t>Valori în mii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Risc de subscriere asigurare generală</t>
        </is>
      </c>
      <c r="C5" s="2" t="n">
        <v>104215</v>
      </c>
    </row>
    <row r="6">
      <c r="B6" t="inlineStr">
        <is>
          <t>Risc de piață</t>
        </is>
      </c>
      <c r="C6" s="2" t="n">
        <v>41902.6</v>
      </c>
    </row>
    <row r="7">
      <c r="B7" t="inlineStr">
        <is>
          <t>Risc de contrapartidă</t>
        </is>
      </c>
      <c r="C7" s="2" t="n">
        <v>11807.3</v>
      </c>
    </row>
    <row r="8">
      <c r="B8" t="inlineStr">
        <is>
          <t>Efect de diversificare (se scade)</t>
        </is>
      </c>
      <c r="C8" s="2" t="n">
        <v>22431.9</v>
      </c>
    </row>
    <row r="9">
      <c r="B9" t="inlineStr">
        <is>
          <t>SCR de bază</t>
        </is>
      </c>
      <c r="C9" s="2" t="n">
        <v>135493</v>
      </c>
    </row>
    <row r="10">
      <c r="B10" t="inlineStr">
        <is>
          <t>Risc operațional</t>
        </is>
      </c>
      <c r="C10" s="2" t="n">
        <v>13270.2</v>
      </c>
    </row>
    <row r="11">
      <c r="B11" t="inlineStr">
        <is>
          <t>SCR</t>
        </is>
      </c>
      <c r="C11" s="2" t="n">
        <v>148763.2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Fonduri proprii și cerințe de capital</t>
        </is>
      </c>
    </row>
    <row r="2">
      <c r="A2" t="inlineStr">
        <is>
          <t>Valori în mii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Fonduri proprii eligibile SCR, nivel 1</t>
        </is>
      </c>
      <c r="C5" s="2" t="n">
        <v>262449.6</v>
      </c>
    </row>
    <row r="6">
      <c r="B6" t="inlineStr">
        <is>
          <t>Fonduri proprii eligibile SCR, nivel 2</t>
        </is>
      </c>
      <c r="C6" s="2" t="n">
        <v>31249.7</v>
      </c>
    </row>
    <row r="7">
      <c r="B7" t="inlineStr">
        <is>
          <t>Fonduri proprii eligibile SCR, nivel 3</t>
        </is>
      </c>
      <c r="C7" s="2" t="n">
        <v>0</v>
      </c>
    </row>
    <row r="8">
      <c r="B8" t="inlineStr">
        <is>
          <t>Fonduri proprii eligibile SCR, total</t>
        </is>
      </c>
      <c r="C8" s="2">
        <f>C5+C6+C7</f>
        <v>293699.3</v>
      </c>
    </row>
    <row r="10">
      <c r="B10" t="inlineStr">
        <is>
          <t>SCR</t>
        </is>
      </c>
      <c r="C10" s="2" t="n">
        <v>148763.2</v>
      </c>
      <c r="D10" s="2" t="n">
        <v>151900</v>
      </c>
    </row>
    <row r="11">
      <c r="B11" t="inlineStr">
        <is>
          <t>MCR</t>
        </is>
      </c>
      <c r="E11" t="inlineStr">
        <is>
          <t>în lucru, actuariat</t>
        </is>
      </c>
    </row>
    <row r="12">
      <c r="B12" t="inlineStr">
        <is>
          <t>Rata de solvabilitate</t>
        </is>
      </c>
      <c r="C12" s="3" t="n">
        <v>1.874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2026-10-07T10:23:26Z</dcterms:created>
  <dcterms:modified xmlns:dcterms="http://purl.org/dc/terms/" xmlns:xsi="http://www.w3.org/2001/XMLSchema-instance" xsi:type="dcterms:W3CDTF">2026-10-07T10:23:26Z</dcterms:modified>
</cp:coreProperties>
</file>